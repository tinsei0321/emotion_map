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emotion_map\DATA\analysis\page7小结\"/>
    </mc:Choice>
  </mc:AlternateContent>
  <xr:revisionPtr revIDLastSave="0" documentId="13_ncr:1_{0D2CDBA5-17BB-4F9D-BE8F-B0A55008CFF1}" xr6:coauthVersionLast="47" xr6:coauthVersionMax="47" xr10:uidLastSave="{00000000-0000-0000-0000-000000000000}"/>
  <bookViews>
    <workbookView xWindow="7605" yWindow="0" windowWidth="22710" windowHeight="20985" xr2:uid="{00000000-000D-0000-FFFF-FFFF00000000}"/>
  </bookViews>
  <sheets>
    <sheet name="客观表" sheetId="1" r:id="rId1"/>
    <sheet name="主观表" sheetId="2" r:id="rId2"/>
    <sheet name="两表重叠" sheetId="3" r:id="rId3"/>
    <sheet name="口径说明" sheetId="4" r:id="rId4"/>
  </sheets>
  <definedNames>
    <definedName name="_xlnm._FilterDatabase" localSheetId="0" hidden="1">客观表!$K$5:$O$5</definedName>
    <definedName name="_xlnm._FilterDatabase" localSheetId="1" hidden="1">主观表!$A$5:$E$5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6" i="1"/>
</calcChain>
</file>

<file path=xl/sharedStrings.xml><?xml version="1.0" encoding="utf-8"?>
<sst xmlns="http://schemas.openxmlformats.org/spreadsheetml/2006/main" count="304" uniqueCount="132">
  <si>
    <t>page7 · 客观指标高社区表（体检问题点 ≥15 个·共 48 社区）</t>
  </si>
  <si>
    <t>客观线逻辑：安全韧性 3 类 + 民生基础 5 类合计问题点 15 个以上</t>
  </si>
  <si>
    <t>序号</t>
  </si>
  <si>
    <t>名称</t>
  </si>
  <si>
    <t>楼栋</t>
  </si>
  <si>
    <t>体检点（全覆盖）</t>
  </si>
  <si>
    <t>诉求件（对照）</t>
  </si>
  <si>
    <t>客观档</t>
  </si>
  <si>
    <t>五龙</t>
  </si>
  <si>
    <t>深（≥60）</t>
  </si>
  <si>
    <t>润城</t>
  </si>
  <si>
    <t>深圳路</t>
  </si>
  <si>
    <t>西峡</t>
  </si>
  <si>
    <t>金安岭</t>
  </si>
  <si>
    <t>镇境山</t>
  </si>
  <si>
    <t>峡江</t>
  </si>
  <si>
    <t>幸福路</t>
  </si>
  <si>
    <t>新隆康路</t>
  </si>
  <si>
    <t>果园路</t>
  </si>
  <si>
    <t>中（30~59）</t>
  </si>
  <si>
    <t>桥北</t>
  </si>
  <si>
    <t>无数据</t>
  </si>
  <si>
    <t>营盘路</t>
  </si>
  <si>
    <t>六泉湖</t>
  </si>
  <si>
    <t>二马路</t>
  </si>
  <si>
    <t>东门外正街</t>
  </si>
  <si>
    <t>丫口</t>
  </si>
  <si>
    <t>香锦</t>
  </si>
  <si>
    <t>桃花岭</t>
  </si>
  <si>
    <t>绿萝路</t>
  </si>
  <si>
    <t>宝联</t>
  </si>
  <si>
    <t>浅（15~29）</t>
  </si>
  <si>
    <t>环城东路</t>
  </si>
  <si>
    <t>常家湾</t>
  </si>
  <si>
    <t>桔城路</t>
  </si>
  <si>
    <t>镇平路</t>
  </si>
  <si>
    <t>赵家湾</t>
  </si>
  <si>
    <t>东湖</t>
  </si>
  <si>
    <t>刘家大堰</t>
  </si>
  <si>
    <t>王家河</t>
  </si>
  <si>
    <t>铁路坝</t>
  </si>
  <si>
    <t>锦江</t>
  </si>
  <si>
    <t>樵湖岭</t>
  </si>
  <si>
    <t>红光</t>
  </si>
  <si>
    <t>杨岔路</t>
  </si>
  <si>
    <t>长江市场</t>
  </si>
  <si>
    <t>肖家岗</t>
  </si>
  <si>
    <t>合益路</t>
  </si>
  <si>
    <t>体育场路</t>
  </si>
  <si>
    <t>清波路</t>
  </si>
  <si>
    <t>云池</t>
  </si>
  <si>
    <t>夷陵路</t>
  </si>
  <si>
    <t>朝阳</t>
  </si>
  <si>
    <t>汕头路</t>
  </si>
  <si>
    <t>韩家坝</t>
  </si>
  <si>
    <t>港务</t>
  </si>
  <si>
    <t>丁家坝</t>
  </si>
  <si>
    <t>城东</t>
  </si>
  <si>
    <t>胜利四路</t>
  </si>
  <si>
    <t>平云</t>
  </si>
  <si>
    <t>page7 · 主观诉求高社区表（全年诉求 ≥50 件·共 47 社区）</t>
  </si>
  <si>
    <t>主观线逻辑：2024 年诉求 50 件以上 ≈ 平均每周至少 1 件</t>
  </si>
  <si>
    <t>诉求件</t>
  </si>
  <si>
    <t>体检点（对照）</t>
  </si>
  <si>
    <t>主观档</t>
  </si>
  <si>
    <t>朝阳路</t>
  </si>
  <si>
    <t>深（≥200·每2天至少1件）</t>
  </si>
  <si>
    <t>万达</t>
  </si>
  <si>
    <t>建设</t>
  </si>
  <si>
    <t>岳湾路</t>
  </si>
  <si>
    <t>大学路</t>
  </si>
  <si>
    <t>伍临路</t>
  </si>
  <si>
    <t>东城</t>
  </si>
  <si>
    <t>中（100~199·每周约2件）</t>
  </si>
  <si>
    <t>张家湾</t>
  </si>
  <si>
    <t>枫香树</t>
  </si>
  <si>
    <t>胜利二路</t>
  </si>
  <si>
    <t>冯家湾</t>
  </si>
  <si>
    <t>花艳</t>
  </si>
  <si>
    <t>浅（50~99·每周约1件）</t>
  </si>
  <si>
    <t>小林园</t>
  </si>
  <si>
    <t>柏临河路</t>
  </si>
  <si>
    <t>胡家冲</t>
  </si>
  <si>
    <t>兴安</t>
  </si>
  <si>
    <t>沈家店</t>
  </si>
  <si>
    <t>黄金卡</t>
  </si>
  <si>
    <t>艾家嘴</t>
  </si>
  <si>
    <t>白家冲</t>
  </si>
  <si>
    <t>珠海路</t>
  </si>
  <si>
    <t>花溪路</t>
  </si>
  <si>
    <t>张家店</t>
  </si>
  <si>
    <t>东站路</t>
  </si>
  <si>
    <t>大堰湾</t>
  </si>
  <si>
    <t>魏家湾</t>
  </si>
  <si>
    <t>白沙路</t>
  </si>
  <si>
    <t>东星</t>
  </si>
  <si>
    <t>中南路</t>
  </si>
  <si>
    <t>锦云</t>
  </si>
  <si>
    <t>白龙井</t>
  </si>
  <si>
    <t>沙河</t>
  </si>
  <si>
    <t>石板溪</t>
  </si>
  <si>
    <t>山庄路</t>
  </si>
  <si>
    <t>港虹</t>
  </si>
  <si>
    <t>翁家堰</t>
  </si>
  <si>
    <t>古塔</t>
  </si>
  <si>
    <t>page7 · 两表重叠社区（客观 ≥15 且 主观 ≥50·共 10 社区·落图叠加可见）</t>
  </si>
  <si>
    <t>体检点</t>
  </si>
  <si>
    <t>备注</t>
  </si>
  <si>
    <t>两线都过</t>
  </si>
  <si>
    <t>口径说明（两表口径·用户定 2026-08-17·取消双高概念）</t>
  </si>
  <si>
    <t>统计口径</t>
  </si>
  <si>
    <t>社区内绝对值·两张独立表（客观高/主观高）·不做双高分类</t>
  </si>
  <si>
    <t>客观线</t>
  </si>
  <si>
    <t>体检问题点 ≥15 个（安全 3 类+民生 5 类合计）→ 客观表 48 社区</t>
  </si>
  <si>
    <t>主观线</t>
  </si>
  <si>
    <t>全年诉求 ≥50 件（≈平均每周至少 1 件）→ 主观表 47 社区</t>
  </si>
  <si>
    <t>两表重叠</t>
  </si>
  <si>
    <t>10 社区（落图叠加可见·非独立类别）</t>
  </si>
  <si>
    <t>客观深浅档</t>
  </si>
  <si>
    <t>浅 15~29（29 社区）/ 中 30~59（10）/ 深 ≥60（9）</t>
  </si>
  <si>
    <t>主观深浅档</t>
  </si>
  <si>
    <t>浅 50~99·每周约1件（30 社区）/ 中 100~199·每周约2件（10）/ 深 ≥200·每2天至少1件（7）</t>
  </si>
  <si>
    <t>范围</t>
  </si>
  <si>
    <t>174 社区全覆盖（体检=2025西陵伍家+2026夷陵/点军/猇亭；12345=174范围内落点·ok 精确点·区级点不进社区表）</t>
  </si>
  <si>
    <t>旧版</t>
  </si>
  <si>
    <t>page7_分组汇总_2026-08-14_最终.xlsx（密度·双高口径）与 08-17 上午版（p81 三类口径）均已被本表取代</t>
  </si>
  <si>
    <t>数据源</t>
  </si>
  <si>
    <t>page7_绝对值口径_全域_2026-08-17.csv（174 社区全表·两表口径）</t>
  </si>
  <si>
    <t>每百栋体检点</t>
    <phoneticPr fontId="1" type="noConversion"/>
  </si>
  <si>
    <t>楼栋数</t>
    <phoneticPr fontId="1" type="noConversion"/>
  </si>
  <si>
    <t>体检问题点数量</t>
    <phoneticPr fontId="1" type="noConversion"/>
  </si>
  <si>
    <t>每十栋体检问题点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</si>
</sst>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P19" sqref="P19"/>
    </sheetView>
  </sheetViews>
  <sheetFormatPr defaultRowHeight="13.5" x14ac:dyDescent="0.15"/>
  <cols>
    <col min="14" max="14" width="15.5" customWidth="1"/>
    <col min="15" max="15" width="11" customWidth="1"/>
  </cols>
  <sheetData>
    <row r="1" spans="1:15" x14ac:dyDescent="0.15">
      <c r="A1" t="s">
        <v>0</v>
      </c>
    </row>
    <row r="3" spans="1:15" x14ac:dyDescent="0.15">
      <c r="A3" t="s">
        <v>1</v>
      </c>
    </row>
    <row r="5" spans="1:15" x14ac:dyDescent="0.1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H5" t="s">
        <v>128</v>
      </c>
      <c r="K5" t="s">
        <v>2</v>
      </c>
      <c r="L5" t="s">
        <v>3</v>
      </c>
      <c r="M5" t="s">
        <v>129</v>
      </c>
      <c r="N5" t="s">
        <v>130</v>
      </c>
      <c r="O5" t="s">
        <v>131</v>
      </c>
    </row>
    <row r="6" spans="1:15" x14ac:dyDescent="0.15">
      <c r="A6" s="1">
        <v>1</v>
      </c>
      <c r="B6" s="1" t="s">
        <v>8</v>
      </c>
      <c r="C6" s="1">
        <v>117</v>
      </c>
      <c r="D6" s="1">
        <v>112</v>
      </c>
      <c r="E6" s="1">
        <v>24</v>
      </c>
      <c r="F6" s="1" t="s">
        <v>9</v>
      </c>
      <c r="H6">
        <f>(D6/C6)*10</f>
        <v>9.5726495726495724</v>
      </c>
      <c r="K6" s="1">
        <v>5</v>
      </c>
      <c r="L6" s="1" t="s">
        <v>13</v>
      </c>
      <c r="M6" s="1">
        <v>56</v>
      </c>
      <c r="N6" s="1">
        <v>84</v>
      </c>
      <c r="O6" s="2">
        <v>15</v>
      </c>
    </row>
    <row r="7" spans="1:15" x14ac:dyDescent="0.15">
      <c r="A7" s="1">
        <v>2</v>
      </c>
      <c r="B7" s="1" t="s">
        <v>10</v>
      </c>
      <c r="C7" s="1">
        <v>94</v>
      </c>
      <c r="D7" s="1">
        <v>110</v>
      </c>
      <c r="E7" s="1">
        <v>1</v>
      </c>
      <c r="F7" s="1" t="s">
        <v>9</v>
      </c>
      <c r="H7">
        <f t="shared" ref="H7:H53" si="0">(D7/C7)*10</f>
        <v>11.702127659574469</v>
      </c>
      <c r="K7" s="1">
        <v>2</v>
      </c>
      <c r="L7" s="1" t="s">
        <v>10</v>
      </c>
      <c r="M7" s="1">
        <v>94</v>
      </c>
      <c r="N7" s="1">
        <v>110</v>
      </c>
      <c r="O7" s="2">
        <v>11.702127659574469</v>
      </c>
    </row>
    <row r="8" spans="1:15" x14ac:dyDescent="0.15">
      <c r="A8" s="1">
        <v>3</v>
      </c>
      <c r="B8" s="1" t="s">
        <v>11</v>
      </c>
      <c r="C8" s="1">
        <v>127</v>
      </c>
      <c r="D8" s="1">
        <v>107</v>
      </c>
      <c r="E8" s="1">
        <v>7</v>
      </c>
      <c r="F8" s="1" t="s">
        <v>9</v>
      </c>
      <c r="H8">
        <f t="shared" si="0"/>
        <v>8.4251968503937</v>
      </c>
      <c r="K8" s="1">
        <v>4</v>
      </c>
      <c r="L8" s="1" t="s">
        <v>12</v>
      </c>
      <c r="M8" s="1">
        <v>78</v>
      </c>
      <c r="N8" s="1">
        <v>91</v>
      </c>
      <c r="O8" s="2">
        <v>11.666666666666668</v>
      </c>
    </row>
    <row r="9" spans="1:15" x14ac:dyDescent="0.15">
      <c r="A9" s="1">
        <v>4</v>
      </c>
      <c r="B9" s="1" t="s">
        <v>12</v>
      </c>
      <c r="C9" s="1">
        <v>78</v>
      </c>
      <c r="D9" s="1">
        <v>91</v>
      </c>
      <c r="E9" s="1">
        <v>35</v>
      </c>
      <c r="F9" s="1" t="s">
        <v>9</v>
      </c>
      <c r="H9">
        <f t="shared" si="0"/>
        <v>11.666666666666668</v>
      </c>
      <c r="K9" s="1">
        <v>8</v>
      </c>
      <c r="L9" s="1" t="s">
        <v>16</v>
      </c>
      <c r="M9" s="1">
        <v>58</v>
      </c>
      <c r="N9" s="1">
        <v>65</v>
      </c>
      <c r="O9" s="2">
        <v>11.206896551724137</v>
      </c>
    </row>
    <row r="10" spans="1:15" x14ac:dyDescent="0.15">
      <c r="A10" s="1">
        <v>5</v>
      </c>
      <c r="B10" s="1" t="s">
        <v>13</v>
      </c>
      <c r="C10" s="1">
        <v>56</v>
      </c>
      <c r="D10" s="1">
        <v>84</v>
      </c>
      <c r="E10" s="1">
        <v>20</v>
      </c>
      <c r="F10" s="1" t="s">
        <v>9</v>
      </c>
      <c r="H10">
        <f t="shared" si="0"/>
        <v>15</v>
      </c>
      <c r="K10" s="1">
        <v>6</v>
      </c>
      <c r="L10" s="1" t="s">
        <v>14</v>
      </c>
      <c r="M10" s="1">
        <v>78</v>
      </c>
      <c r="N10" s="1">
        <v>82</v>
      </c>
      <c r="O10" s="2">
        <v>10.512820512820513</v>
      </c>
    </row>
    <row r="11" spans="1:15" x14ac:dyDescent="0.15">
      <c r="A11" s="1">
        <v>6</v>
      </c>
      <c r="B11" s="1" t="s">
        <v>14</v>
      </c>
      <c r="C11" s="1">
        <v>78</v>
      </c>
      <c r="D11" s="1">
        <v>82</v>
      </c>
      <c r="E11" s="1">
        <v>5</v>
      </c>
      <c r="F11" s="1" t="s">
        <v>9</v>
      </c>
      <c r="H11">
        <f t="shared" si="0"/>
        <v>10.512820512820513</v>
      </c>
      <c r="K11" s="1">
        <v>1</v>
      </c>
      <c r="L11" s="1" t="s">
        <v>8</v>
      </c>
      <c r="M11" s="1">
        <v>117</v>
      </c>
      <c r="N11" s="1">
        <v>112</v>
      </c>
      <c r="O11" s="2">
        <v>9.5726495726495724</v>
      </c>
    </row>
    <row r="12" spans="1:15" x14ac:dyDescent="0.15">
      <c r="A12" s="1">
        <v>7</v>
      </c>
      <c r="B12" s="1" t="s">
        <v>15</v>
      </c>
      <c r="C12" s="1">
        <v>428</v>
      </c>
      <c r="D12" s="1">
        <v>66</v>
      </c>
      <c r="E12" s="1">
        <v>1</v>
      </c>
      <c r="F12" s="1" t="s">
        <v>9</v>
      </c>
      <c r="H12">
        <f t="shared" si="0"/>
        <v>1.542056074766355</v>
      </c>
      <c r="K12" s="1">
        <v>3</v>
      </c>
      <c r="L12" s="1" t="s">
        <v>11</v>
      </c>
      <c r="M12" s="1">
        <v>127</v>
      </c>
      <c r="N12" s="1">
        <v>107</v>
      </c>
      <c r="O12" s="2">
        <v>8.4251968503937</v>
      </c>
    </row>
    <row r="13" spans="1:15" x14ac:dyDescent="0.15">
      <c r="A13" s="1">
        <v>8</v>
      </c>
      <c r="B13" s="1" t="s">
        <v>16</v>
      </c>
      <c r="C13" s="1">
        <v>58</v>
      </c>
      <c r="D13" s="1">
        <v>65</v>
      </c>
      <c r="E13" s="1">
        <v>1</v>
      </c>
      <c r="F13" s="1" t="s">
        <v>9</v>
      </c>
      <c r="H13">
        <f t="shared" si="0"/>
        <v>11.206896551724137</v>
      </c>
      <c r="K13">
        <v>13</v>
      </c>
      <c r="L13" t="s">
        <v>23</v>
      </c>
      <c r="M13">
        <v>231</v>
      </c>
      <c r="N13">
        <v>37</v>
      </c>
      <c r="O13" s="2">
        <v>7.7083333333333339</v>
      </c>
    </row>
    <row r="14" spans="1:15" x14ac:dyDescent="0.15">
      <c r="A14" s="1">
        <v>9</v>
      </c>
      <c r="B14" s="1" t="s">
        <v>17</v>
      </c>
      <c r="C14" s="1">
        <v>130</v>
      </c>
      <c r="D14" s="1">
        <v>62</v>
      </c>
      <c r="E14" s="1">
        <v>64</v>
      </c>
      <c r="F14" s="1" t="s">
        <v>9</v>
      </c>
      <c r="H14">
        <f t="shared" si="0"/>
        <v>4.7692307692307692</v>
      </c>
      <c r="K14">
        <v>17</v>
      </c>
      <c r="L14" t="s">
        <v>27</v>
      </c>
      <c r="M14">
        <v>67</v>
      </c>
      <c r="N14">
        <v>34</v>
      </c>
      <c r="O14" s="2">
        <v>6.7307692307692317</v>
      </c>
    </row>
    <row r="15" spans="1:15" x14ac:dyDescent="0.15">
      <c r="A15" s="1">
        <v>10</v>
      </c>
      <c r="B15" s="1" t="s">
        <v>18</v>
      </c>
      <c r="C15" s="1">
        <v>93</v>
      </c>
      <c r="D15" s="1">
        <v>51</v>
      </c>
      <c r="E15" s="1">
        <v>73</v>
      </c>
      <c r="F15" s="1" t="s">
        <v>19</v>
      </c>
      <c r="H15">
        <f t="shared" si="0"/>
        <v>5.4838709677419351</v>
      </c>
      <c r="K15">
        <v>20</v>
      </c>
      <c r="L15" t="s">
        <v>30</v>
      </c>
      <c r="M15">
        <v>94</v>
      </c>
      <c r="N15">
        <v>29</v>
      </c>
      <c r="O15" s="2">
        <v>5.9615384615384617</v>
      </c>
    </row>
    <row r="16" spans="1:15" x14ac:dyDescent="0.15">
      <c r="A16">
        <v>11</v>
      </c>
      <c r="B16" t="s">
        <v>20</v>
      </c>
      <c r="C16">
        <v>48</v>
      </c>
      <c r="D16">
        <v>37</v>
      </c>
      <c r="E16" t="s">
        <v>21</v>
      </c>
      <c r="F16" t="s">
        <v>19</v>
      </c>
      <c r="H16">
        <f t="shared" si="0"/>
        <v>7.7083333333333339</v>
      </c>
      <c r="K16">
        <v>28</v>
      </c>
      <c r="L16" t="s">
        <v>39</v>
      </c>
      <c r="M16">
        <v>66</v>
      </c>
      <c r="N16">
        <v>25</v>
      </c>
      <c r="O16" s="2">
        <v>5.9090909090909092</v>
      </c>
    </row>
    <row r="17" spans="1:15" x14ac:dyDescent="0.15">
      <c r="A17">
        <v>12</v>
      </c>
      <c r="B17" t="s">
        <v>22</v>
      </c>
      <c r="C17">
        <v>66</v>
      </c>
      <c r="D17">
        <v>37</v>
      </c>
      <c r="E17">
        <v>117</v>
      </c>
      <c r="F17" t="s">
        <v>19</v>
      </c>
      <c r="H17">
        <f t="shared" si="0"/>
        <v>5.6060606060606055</v>
      </c>
      <c r="K17">
        <v>14</v>
      </c>
      <c r="L17" t="s">
        <v>24</v>
      </c>
      <c r="M17">
        <v>158</v>
      </c>
      <c r="N17">
        <v>37</v>
      </c>
      <c r="O17" s="2">
        <v>5.6060606060606055</v>
      </c>
    </row>
    <row r="18" spans="1:15" x14ac:dyDescent="0.15">
      <c r="A18">
        <v>13</v>
      </c>
      <c r="B18" t="s">
        <v>23</v>
      </c>
      <c r="C18">
        <v>231</v>
      </c>
      <c r="D18">
        <v>37</v>
      </c>
      <c r="E18">
        <v>22</v>
      </c>
      <c r="F18" t="s">
        <v>19</v>
      </c>
      <c r="H18">
        <f t="shared" si="0"/>
        <v>1.6017316017316017</v>
      </c>
      <c r="K18" s="1">
        <v>10</v>
      </c>
      <c r="L18" s="1" t="s">
        <v>18</v>
      </c>
      <c r="M18" s="1">
        <v>93</v>
      </c>
      <c r="N18" s="1">
        <v>51</v>
      </c>
      <c r="O18" s="2">
        <v>5.4838709677419351</v>
      </c>
    </row>
    <row r="19" spans="1:15" x14ac:dyDescent="0.15">
      <c r="A19">
        <v>14</v>
      </c>
      <c r="B19" t="s">
        <v>24</v>
      </c>
      <c r="C19">
        <v>158</v>
      </c>
      <c r="D19">
        <v>37</v>
      </c>
      <c r="E19">
        <v>6</v>
      </c>
      <c r="F19" t="s">
        <v>19</v>
      </c>
      <c r="H19">
        <f t="shared" si="0"/>
        <v>2.3417721518987342</v>
      </c>
      <c r="K19">
        <v>19</v>
      </c>
      <c r="L19" t="s">
        <v>29</v>
      </c>
      <c r="M19">
        <v>52</v>
      </c>
      <c r="N19">
        <v>31</v>
      </c>
      <c r="O19" s="2">
        <v>5.0746268656716422</v>
      </c>
    </row>
    <row r="20" spans="1:15" x14ac:dyDescent="0.15">
      <c r="A20">
        <v>15</v>
      </c>
      <c r="B20" t="s">
        <v>25</v>
      </c>
      <c r="C20">
        <v>52</v>
      </c>
      <c r="D20">
        <v>35</v>
      </c>
      <c r="E20">
        <v>8</v>
      </c>
      <c r="F20" t="s">
        <v>19</v>
      </c>
      <c r="H20">
        <f t="shared" si="0"/>
        <v>6.7307692307692317</v>
      </c>
      <c r="K20" s="1">
        <v>9</v>
      </c>
      <c r="L20" s="1" t="s">
        <v>17</v>
      </c>
      <c r="M20" s="1">
        <v>130</v>
      </c>
      <c r="N20" s="1">
        <v>62</v>
      </c>
      <c r="O20" s="2">
        <v>4.7692307692307692</v>
      </c>
    </row>
    <row r="21" spans="1:15" x14ac:dyDescent="0.15">
      <c r="A21">
        <v>16</v>
      </c>
      <c r="B21" t="s">
        <v>26</v>
      </c>
      <c r="C21">
        <v>115</v>
      </c>
      <c r="D21">
        <v>34</v>
      </c>
      <c r="E21" t="s">
        <v>21</v>
      </c>
      <c r="F21" t="s">
        <v>19</v>
      </c>
      <c r="H21">
        <f t="shared" si="0"/>
        <v>2.956521739130435</v>
      </c>
      <c r="K21">
        <v>31</v>
      </c>
      <c r="L21" t="s">
        <v>42</v>
      </c>
      <c r="M21">
        <v>64</v>
      </c>
      <c r="N21">
        <v>24</v>
      </c>
      <c r="O21" s="2">
        <v>4.4642857142857144</v>
      </c>
    </row>
    <row r="22" spans="1:15" x14ac:dyDescent="0.15">
      <c r="A22">
        <v>17</v>
      </c>
      <c r="B22" t="s">
        <v>27</v>
      </c>
      <c r="C22">
        <v>67</v>
      </c>
      <c r="D22">
        <v>34</v>
      </c>
      <c r="E22">
        <v>39</v>
      </c>
      <c r="F22" t="s">
        <v>19</v>
      </c>
      <c r="H22">
        <f t="shared" si="0"/>
        <v>5.0746268656716422</v>
      </c>
      <c r="K22">
        <v>23</v>
      </c>
      <c r="L22" t="s">
        <v>34</v>
      </c>
      <c r="M22">
        <v>73</v>
      </c>
      <c r="N22">
        <v>26</v>
      </c>
      <c r="O22" s="2">
        <v>4.375</v>
      </c>
    </row>
    <row r="23" spans="1:15" x14ac:dyDescent="0.15">
      <c r="A23">
        <v>19</v>
      </c>
      <c r="B23" t="s">
        <v>29</v>
      </c>
      <c r="C23">
        <v>52</v>
      </c>
      <c r="D23">
        <v>31</v>
      </c>
      <c r="E23">
        <v>61</v>
      </c>
      <c r="F23" t="s">
        <v>19</v>
      </c>
      <c r="H23">
        <f t="shared" si="0"/>
        <v>5.9615384615384617</v>
      </c>
      <c r="K23">
        <v>48</v>
      </c>
      <c r="L23" t="s">
        <v>59</v>
      </c>
      <c r="M23">
        <v>425</v>
      </c>
      <c r="N23">
        <v>15</v>
      </c>
      <c r="O23" s="2">
        <v>4.3589743589743595</v>
      </c>
    </row>
    <row r="24" spans="1:15" x14ac:dyDescent="0.15">
      <c r="A24">
        <v>18</v>
      </c>
      <c r="B24" t="s">
        <v>28</v>
      </c>
      <c r="C24">
        <v>90</v>
      </c>
      <c r="D24">
        <v>31</v>
      </c>
      <c r="E24">
        <v>15</v>
      </c>
      <c r="F24" t="s">
        <v>19</v>
      </c>
      <c r="H24">
        <f t="shared" si="0"/>
        <v>3.4444444444444446</v>
      </c>
      <c r="K24">
        <v>36</v>
      </c>
      <c r="L24" t="s">
        <v>47</v>
      </c>
      <c r="M24">
        <v>54</v>
      </c>
      <c r="N24">
        <v>20</v>
      </c>
      <c r="O24" s="2">
        <v>4.0740740740740735</v>
      </c>
    </row>
    <row r="25" spans="1:15" x14ac:dyDescent="0.15">
      <c r="A25">
        <v>20</v>
      </c>
      <c r="B25" t="s">
        <v>30</v>
      </c>
      <c r="C25">
        <v>94</v>
      </c>
      <c r="D25">
        <v>29</v>
      </c>
      <c r="E25">
        <v>156</v>
      </c>
      <c r="F25" t="s">
        <v>31</v>
      </c>
      <c r="H25">
        <f t="shared" si="0"/>
        <v>3.0851063829787235</v>
      </c>
      <c r="K25">
        <v>29</v>
      </c>
      <c r="L25" t="s">
        <v>40</v>
      </c>
      <c r="M25">
        <v>56</v>
      </c>
      <c r="N25">
        <v>25</v>
      </c>
      <c r="O25" s="2">
        <v>3.90625</v>
      </c>
    </row>
    <row r="26" spans="1:15" x14ac:dyDescent="0.15">
      <c r="A26">
        <v>21</v>
      </c>
      <c r="B26" t="s">
        <v>32</v>
      </c>
      <c r="C26">
        <v>64</v>
      </c>
      <c r="D26">
        <v>28</v>
      </c>
      <c r="E26">
        <v>14</v>
      </c>
      <c r="F26" t="s">
        <v>31</v>
      </c>
      <c r="H26">
        <f t="shared" si="0"/>
        <v>4.375</v>
      </c>
      <c r="K26">
        <v>32</v>
      </c>
      <c r="L26" t="s">
        <v>43</v>
      </c>
      <c r="M26">
        <v>54</v>
      </c>
      <c r="N26">
        <v>22</v>
      </c>
      <c r="O26" s="2">
        <v>3.7878787878787881</v>
      </c>
    </row>
    <row r="27" spans="1:15" x14ac:dyDescent="0.15">
      <c r="A27">
        <v>22</v>
      </c>
      <c r="B27" t="s">
        <v>33</v>
      </c>
      <c r="C27">
        <v>82</v>
      </c>
      <c r="D27">
        <v>27</v>
      </c>
      <c r="E27">
        <v>7</v>
      </c>
      <c r="F27" t="s">
        <v>31</v>
      </c>
      <c r="H27">
        <f t="shared" si="0"/>
        <v>3.2926829268292686</v>
      </c>
      <c r="K27">
        <v>35</v>
      </c>
      <c r="L27" t="s">
        <v>46</v>
      </c>
      <c r="M27">
        <v>70</v>
      </c>
      <c r="N27">
        <v>20</v>
      </c>
      <c r="O27" s="2">
        <v>3.75</v>
      </c>
    </row>
    <row r="28" spans="1:15" x14ac:dyDescent="0.15">
      <c r="A28">
        <v>24</v>
      </c>
      <c r="B28" t="s">
        <v>35</v>
      </c>
      <c r="C28">
        <v>203</v>
      </c>
      <c r="D28">
        <v>26</v>
      </c>
      <c r="E28" t="s">
        <v>21</v>
      </c>
      <c r="F28" t="s">
        <v>31</v>
      </c>
      <c r="H28">
        <f t="shared" si="0"/>
        <v>1.2807881773399017</v>
      </c>
      <c r="K28">
        <v>41</v>
      </c>
      <c r="L28" t="s">
        <v>52</v>
      </c>
      <c r="M28">
        <v>282</v>
      </c>
      <c r="N28">
        <v>18</v>
      </c>
      <c r="O28" s="2">
        <v>3.7037037037037033</v>
      </c>
    </row>
    <row r="29" spans="1:15" x14ac:dyDescent="0.15">
      <c r="A29">
        <v>23</v>
      </c>
      <c r="B29" t="s">
        <v>34</v>
      </c>
      <c r="C29">
        <v>73</v>
      </c>
      <c r="D29">
        <v>26</v>
      </c>
      <c r="E29">
        <v>31</v>
      </c>
      <c r="F29" t="s">
        <v>31</v>
      </c>
      <c r="H29">
        <f t="shared" si="0"/>
        <v>3.5616438356164384</v>
      </c>
      <c r="K29">
        <v>30</v>
      </c>
      <c r="L29" t="s">
        <v>41</v>
      </c>
      <c r="M29">
        <v>71</v>
      </c>
      <c r="N29">
        <v>25</v>
      </c>
      <c r="O29" s="2">
        <v>3.5616438356164384</v>
      </c>
    </row>
    <row r="30" spans="1:15" x14ac:dyDescent="0.15">
      <c r="A30">
        <v>25</v>
      </c>
      <c r="B30" t="s">
        <v>36</v>
      </c>
      <c r="C30">
        <v>44</v>
      </c>
      <c r="D30">
        <v>26</v>
      </c>
      <c r="E30">
        <v>28</v>
      </c>
      <c r="F30" t="s">
        <v>31</v>
      </c>
      <c r="H30">
        <f t="shared" si="0"/>
        <v>5.9090909090909092</v>
      </c>
      <c r="K30">
        <v>33</v>
      </c>
      <c r="L30" t="s">
        <v>44</v>
      </c>
      <c r="M30">
        <v>63</v>
      </c>
      <c r="N30">
        <v>21</v>
      </c>
      <c r="O30" s="2">
        <v>3.52112676056338</v>
      </c>
    </row>
    <row r="31" spans="1:15" x14ac:dyDescent="0.15">
      <c r="A31">
        <v>26</v>
      </c>
      <c r="B31" t="s">
        <v>37</v>
      </c>
      <c r="C31">
        <v>654</v>
      </c>
      <c r="D31">
        <v>25</v>
      </c>
      <c r="E31">
        <v>26</v>
      </c>
      <c r="F31" t="s">
        <v>31</v>
      </c>
      <c r="H31">
        <f t="shared" si="0"/>
        <v>0.38226299694189603</v>
      </c>
      <c r="K31">
        <v>21</v>
      </c>
      <c r="L31" t="s">
        <v>32</v>
      </c>
      <c r="M31">
        <v>64</v>
      </c>
      <c r="N31">
        <v>28</v>
      </c>
      <c r="O31" s="2">
        <v>3.4444444444444446</v>
      </c>
    </row>
    <row r="32" spans="1:15" x14ac:dyDescent="0.15">
      <c r="A32">
        <v>27</v>
      </c>
      <c r="B32" t="s">
        <v>38</v>
      </c>
      <c r="C32">
        <v>64</v>
      </c>
      <c r="D32">
        <v>25</v>
      </c>
      <c r="E32">
        <v>22</v>
      </c>
      <c r="F32" t="s">
        <v>31</v>
      </c>
      <c r="H32">
        <f t="shared" si="0"/>
        <v>3.90625</v>
      </c>
      <c r="K32">
        <v>39</v>
      </c>
      <c r="L32" t="s">
        <v>50</v>
      </c>
      <c r="M32">
        <v>288</v>
      </c>
      <c r="N32">
        <v>18</v>
      </c>
      <c r="O32" s="2">
        <v>3.333333333333333</v>
      </c>
    </row>
    <row r="33" spans="1:15" x14ac:dyDescent="0.15">
      <c r="A33">
        <v>29</v>
      </c>
      <c r="B33" t="s">
        <v>40</v>
      </c>
      <c r="C33">
        <v>56</v>
      </c>
      <c r="D33">
        <v>25</v>
      </c>
      <c r="E33">
        <v>7</v>
      </c>
      <c r="F33" t="s">
        <v>31</v>
      </c>
      <c r="H33">
        <f t="shared" si="0"/>
        <v>4.4642857142857144</v>
      </c>
      <c r="K33">
        <v>25</v>
      </c>
      <c r="L33" t="s">
        <v>36</v>
      </c>
      <c r="M33">
        <v>44</v>
      </c>
      <c r="N33">
        <v>26</v>
      </c>
      <c r="O33" s="2">
        <v>3.2926829268292686</v>
      </c>
    </row>
    <row r="34" spans="1:15" x14ac:dyDescent="0.15">
      <c r="A34">
        <v>28</v>
      </c>
      <c r="B34" t="s">
        <v>39</v>
      </c>
      <c r="C34">
        <v>66</v>
      </c>
      <c r="D34">
        <v>25</v>
      </c>
      <c r="E34">
        <v>6</v>
      </c>
      <c r="F34" t="s">
        <v>31</v>
      </c>
      <c r="H34">
        <f t="shared" si="0"/>
        <v>3.7878787878787881</v>
      </c>
      <c r="K34">
        <v>45</v>
      </c>
      <c r="L34" t="s">
        <v>56</v>
      </c>
      <c r="M34">
        <v>627</v>
      </c>
      <c r="N34">
        <v>17</v>
      </c>
      <c r="O34" s="2">
        <v>3.1666666666666665</v>
      </c>
    </row>
    <row r="35" spans="1:15" x14ac:dyDescent="0.15">
      <c r="A35">
        <v>30</v>
      </c>
      <c r="B35" t="s">
        <v>41</v>
      </c>
      <c r="C35">
        <v>71</v>
      </c>
      <c r="D35">
        <v>25</v>
      </c>
      <c r="E35">
        <v>6</v>
      </c>
      <c r="F35" t="s">
        <v>31</v>
      </c>
      <c r="H35">
        <f t="shared" si="0"/>
        <v>3.52112676056338</v>
      </c>
      <c r="K35">
        <v>22</v>
      </c>
      <c r="L35" t="s">
        <v>33</v>
      </c>
      <c r="M35">
        <v>82</v>
      </c>
      <c r="N35">
        <v>27</v>
      </c>
      <c r="O35" s="2">
        <v>3.0851063829787235</v>
      </c>
    </row>
    <row r="36" spans="1:15" x14ac:dyDescent="0.15">
      <c r="A36">
        <v>31</v>
      </c>
      <c r="B36" t="s">
        <v>42</v>
      </c>
      <c r="C36">
        <v>64</v>
      </c>
      <c r="D36">
        <v>24</v>
      </c>
      <c r="E36">
        <v>1</v>
      </c>
      <c r="F36" t="s">
        <v>31</v>
      </c>
      <c r="H36">
        <f t="shared" si="0"/>
        <v>3.75</v>
      </c>
      <c r="K36">
        <v>18</v>
      </c>
      <c r="L36" t="s">
        <v>28</v>
      </c>
      <c r="M36">
        <v>90</v>
      </c>
      <c r="N36">
        <v>31</v>
      </c>
      <c r="O36" s="2">
        <v>2.956521739130435</v>
      </c>
    </row>
    <row r="37" spans="1:15" x14ac:dyDescent="0.15">
      <c r="A37">
        <v>32</v>
      </c>
      <c r="B37" t="s">
        <v>43</v>
      </c>
      <c r="C37">
        <v>54</v>
      </c>
      <c r="D37">
        <v>22</v>
      </c>
      <c r="E37">
        <v>5</v>
      </c>
      <c r="F37" t="s">
        <v>31</v>
      </c>
      <c r="H37">
        <f t="shared" si="0"/>
        <v>4.0740740740740735</v>
      </c>
      <c r="K37">
        <v>40</v>
      </c>
      <c r="L37" t="s">
        <v>51</v>
      </c>
      <c r="M37">
        <v>81</v>
      </c>
      <c r="N37">
        <v>18</v>
      </c>
      <c r="O37" s="2">
        <v>2.8571428571428568</v>
      </c>
    </row>
    <row r="38" spans="1:15" x14ac:dyDescent="0.15">
      <c r="A38">
        <v>34</v>
      </c>
      <c r="B38" t="s">
        <v>45</v>
      </c>
      <c r="C38">
        <v>388</v>
      </c>
      <c r="D38">
        <v>21</v>
      </c>
      <c r="E38" t="s">
        <v>21</v>
      </c>
      <c r="F38" t="s">
        <v>31</v>
      </c>
      <c r="H38">
        <f t="shared" si="0"/>
        <v>0.54123711340206193</v>
      </c>
      <c r="K38">
        <v>15</v>
      </c>
      <c r="L38" t="s">
        <v>25</v>
      </c>
      <c r="M38">
        <v>52</v>
      </c>
      <c r="N38">
        <v>35</v>
      </c>
      <c r="O38" s="2">
        <v>2.3417721518987342</v>
      </c>
    </row>
    <row r="39" spans="1:15" x14ac:dyDescent="0.15">
      <c r="A39">
        <v>33</v>
      </c>
      <c r="B39" t="s">
        <v>44</v>
      </c>
      <c r="C39">
        <v>63</v>
      </c>
      <c r="D39">
        <v>21</v>
      </c>
      <c r="E39">
        <v>31</v>
      </c>
      <c r="F39" t="s">
        <v>31</v>
      </c>
      <c r="H39">
        <f t="shared" si="0"/>
        <v>3.333333333333333</v>
      </c>
      <c r="K39">
        <v>42</v>
      </c>
      <c r="L39" t="s">
        <v>53</v>
      </c>
      <c r="M39">
        <v>39</v>
      </c>
      <c r="N39">
        <v>17</v>
      </c>
      <c r="O39" s="2">
        <v>2.2222222222222223</v>
      </c>
    </row>
    <row r="40" spans="1:15" x14ac:dyDescent="0.15">
      <c r="A40">
        <v>36</v>
      </c>
      <c r="B40" t="s">
        <v>47</v>
      </c>
      <c r="C40">
        <v>54</v>
      </c>
      <c r="D40">
        <v>20</v>
      </c>
      <c r="E40">
        <v>57</v>
      </c>
      <c r="F40" t="s">
        <v>31</v>
      </c>
      <c r="H40">
        <f t="shared" si="0"/>
        <v>3.7037037037037033</v>
      </c>
      <c r="K40">
        <v>44</v>
      </c>
      <c r="L40" t="s">
        <v>55</v>
      </c>
      <c r="M40">
        <v>106</v>
      </c>
      <c r="N40">
        <v>17</v>
      </c>
      <c r="O40" s="2">
        <v>2.1348314606741572</v>
      </c>
    </row>
    <row r="41" spans="1:15" x14ac:dyDescent="0.15">
      <c r="A41">
        <v>35</v>
      </c>
      <c r="B41" t="s">
        <v>46</v>
      </c>
      <c r="C41">
        <v>70</v>
      </c>
      <c r="D41">
        <v>20</v>
      </c>
      <c r="E41">
        <v>25</v>
      </c>
      <c r="F41" t="s">
        <v>31</v>
      </c>
      <c r="H41">
        <f t="shared" si="0"/>
        <v>2.8571428571428568</v>
      </c>
      <c r="K41">
        <v>47</v>
      </c>
      <c r="L41" t="s">
        <v>58</v>
      </c>
      <c r="M41">
        <v>44</v>
      </c>
      <c r="N41">
        <v>16</v>
      </c>
      <c r="O41" s="2">
        <v>1.6037735849056602</v>
      </c>
    </row>
    <row r="42" spans="1:15" x14ac:dyDescent="0.15">
      <c r="A42">
        <v>38</v>
      </c>
      <c r="B42" t="s">
        <v>49</v>
      </c>
      <c r="C42">
        <v>60</v>
      </c>
      <c r="D42">
        <v>19</v>
      </c>
      <c r="E42" t="s">
        <v>21</v>
      </c>
      <c r="F42" t="s">
        <v>31</v>
      </c>
      <c r="H42">
        <f t="shared" si="0"/>
        <v>3.1666666666666665</v>
      </c>
      <c r="K42">
        <v>12</v>
      </c>
      <c r="L42" t="s">
        <v>22</v>
      </c>
      <c r="M42">
        <v>66</v>
      </c>
      <c r="N42">
        <v>37</v>
      </c>
      <c r="O42" s="2">
        <v>1.6017316017316017</v>
      </c>
    </row>
    <row r="43" spans="1:15" x14ac:dyDescent="0.15">
      <c r="A43">
        <v>37</v>
      </c>
      <c r="B43" t="s">
        <v>48</v>
      </c>
      <c r="C43">
        <v>89</v>
      </c>
      <c r="D43">
        <v>19</v>
      </c>
      <c r="E43">
        <v>136</v>
      </c>
      <c r="F43" t="s">
        <v>31</v>
      </c>
      <c r="H43">
        <f t="shared" si="0"/>
        <v>2.1348314606741572</v>
      </c>
      <c r="K43" s="1">
        <v>7</v>
      </c>
      <c r="L43" s="1" t="s">
        <v>15</v>
      </c>
      <c r="M43" s="1">
        <v>428</v>
      </c>
      <c r="N43" s="1">
        <v>66</v>
      </c>
      <c r="O43" s="2">
        <v>1.542056074766355</v>
      </c>
    </row>
    <row r="44" spans="1:15" x14ac:dyDescent="0.15">
      <c r="A44">
        <v>41</v>
      </c>
      <c r="B44" t="s">
        <v>52</v>
      </c>
      <c r="C44">
        <v>282</v>
      </c>
      <c r="D44">
        <v>18</v>
      </c>
      <c r="E44">
        <v>31</v>
      </c>
      <c r="F44" t="s">
        <v>31</v>
      </c>
      <c r="H44">
        <f t="shared" si="0"/>
        <v>0.63829787234042545</v>
      </c>
      <c r="K44">
        <v>26</v>
      </c>
      <c r="L44" t="s">
        <v>37</v>
      </c>
      <c r="M44">
        <v>654</v>
      </c>
      <c r="N44">
        <v>25</v>
      </c>
      <c r="O44" s="2">
        <v>1.2807881773399017</v>
      </c>
    </row>
    <row r="45" spans="1:15" x14ac:dyDescent="0.15">
      <c r="A45">
        <v>40</v>
      </c>
      <c r="B45" t="s">
        <v>51</v>
      </c>
      <c r="C45">
        <v>81</v>
      </c>
      <c r="D45">
        <v>18</v>
      </c>
      <c r="E45">
        <v>14</v>
      </c>
      <c r="F45" t="s">
        <v>31</v>
      </c>
      <c r="H45">
        <f t="shared" si="0"/>
        <v>2.2222222222222223</v>
      </c>
      <c r="K45">
        <v>43</v>
      </c>
      <c r="L45" t="s">
        <v>54</v>
      </c>
      <c r="M45">
        <v>40</v>
      </c>
      <c r="N45">
        <v>17</v>
      </c>
      <c r="O45" s="2">
        <v>0.63829787234042545</v>
      </c>
    </row>
    <row r="46" spans="1:15" x14ac:dyDescent="0.15">
      <c r="A46">
        <v>39</v>
      </c>
      <c r="B46" t="s">
        <v>50</v>
      </c>
      <c r="C46">
        <v>288</v>
      </c>
      <c r="D46">
        <v>18</v>
      </c>
      <c r="E46">
        <v>7</v>
      </c>
      <c r="F46" t="s">
        <v>31</v>
      </c>
      <c r="H46">
        <f t="shared" si="0"/>
        <v>0.625</v>
      </c>
      <c r="K46">
        <v>46</v>
      </c>
      <c r="L46" t="s">
        <v>57</v>
      </c>
      <c r="M46">
        <v>109</v>
      </c>
      <c r="N46">
        <v>16</v>
      </c>
      <c r="O46" s="2">
        <v>0.625</v>
      </c>
    </row>
    <row r="47" spans="1:15" x14ac:dyDescent="0.15">
      <c r="A47">
        <v>44</v>
      </c>
      <c r="B47" t="s">
        <v>55</v>
      </c>
      <c r="C47">
        <v>106</v>
      </c>
      <c r="D47">
        <v>17</v>
      </c>
      <c r="E47">
        <v>417</v>
      </c>
      <c r="F47" t="s">
        <v>31</v>
      </c>
      <c r="H47">
        <f t="shared" si="0"/>
        <v>1.6037735849056602</v>
      </c>
      <c r="K47">
        <v>37</v>
      </c>
      <c r="L47" t="s">
        <v>48</v>
      </c>
      <c r="M47">
        <v>89</v>
      </c>
      <c r="N47">
        <v>19</v>
      </c>
      <c r="O47" s="2">
        <v>0.54123711340206193</v>
      </c>
    </row>
    <row r="48" spans="1:15" x14ac:dyDescent="0.15">
      <c r="A48">
        <v>42</v>
      </c>
      <c r="B48" t="s">
        <v>53</v>
      </c>
      <c r="C48">
        <v>39</v>
      </c>
      <c r="D48">
        <v>17</v>
      </c>
      <c r="E48">
        <v>107</v>
      </c>
      <c r="F48" t="s">
        <v>31</v>
      </c>
      <c r="H48">
        <f t="shared" si="0"/>
        <v>4.3589743589743595</v>
      </c>
      <c r="K48">
        <v>27</v>
      </c>
      <c r="L48" t="s">
        <v>38</v>
      </c>
      <c r="M48">
        <v>64</v>
      </c>
      <c r="N48">
        <v>25</v>
      </c>
      <c r="O48" s="2">
        <v>0.38226299694189603</v>
      </c>
    </row>
    <row r="49" spans="1:8" x14ac:dyDescent="0.15">
      <c r="A49">
        <v>43</v>
      </c>
      <c r="B49" t="s">
        <v>54</v>
      </c>
      <c r="C49">
        <v>40</v>
      </c>
      <c r="D49">
        <v>17</v>
      </c>
      <c r="E49">
        <v>42</v>
      </c>
      <c r="F49" t="s">
        <v>31</v>
      </c>
      <c r="H49">
        <f t="shared" si="0"/>
        <v>4.25</v>
      </c>
    </row>
    <row r="50" spans="1:8" x14ac:dyDescent="0.15">
      <c r="A50">
        <v>45</v>
      </c>
      <c r="B50" t="s">
        <v>56</v>
      </c>
      <c r="C50">
        <v>627</v>
      </c>
      <c r="D50">
        <v>17</v>
      </c>
      <c r="E50">
        <v>6</v>
      </c>
      <c r="F50" t="s">
        <v>31</v>
      </c>
      <c r="H50">
        <f t="shared" si="0"/>
        <v>0.27113237639553428</v>
      </c>
    </row>
    <row r="51" spans="1:8" x14ac:dyDescent="0.15">
      <c r="A51">
        <v>47</v>
      </c>
      <c r="B51" t="s">
        <v>58</v>
      </c>
      <c r="C51">
        <v>44</v>
      </c>
      <c r="D51">
        <v>16</v>
      </c>
      <c r="E51">
        <v>115</v>
      </c>
      <c r="F51" t="s">
        <v>31</v>
      </c>
      <c r="H51">
        <f t="shared" si="0"/>
        <v>3.6363636363636367</v>
      </c>
    </row>
    <row r="52" spans="1:8" x14ac:dyDescent="0.15">
      <c r="A52">
        <v>46</v>
      </c>
      <c r="B52" t="s">
        <v>57</v>
      </c>
      <c r="C52">
        <v>109</v>
      </c>
      <c r="D52">
        <v>16</v>
      </c>
      <c r="E52">
        <v>3</v>
      </c>
      <c r="F52" t="s">
        <v>31</v>
      </c>
      <c r="H52">
        <f t="shared" si="0"/>
        <v>1.4678899082568808</v>
      </c>
    </row>
    <row r="53" spans="1:8" x14ac:dyDescent="0.15">
      <c r="A53">
        <v>48</v>
      </c>
      <c r="B53" t="s">
        <v>59</v>
      </c>
      <c r="C53">
        <v>425</v>
      </c>
      <c r="D53">
        <v>15</v>
      </c>
      <c r="E53">
        <v>31</v>
      </c>
      <c r="F53" t="s">
        <v>31</v>
      </c>
      <c r="H53">
        <f t="shared" si="0"/>
        <v>0.3529411764705882</v>
      </c>
    </row>
  </sheetData>
  <autoFilter ref="K5:O5" xr:uid="{00000000-0001-0000-0000-000000000000}">
    <sortState xmlns:xlrd2="http://schemas.microsoft.com/office/spreadsheetml/2017/richdata2" ref="K6:O48">
      <sortCondition descending="1" ref="O5"/>
    </sortState>
  </autoFilter>
  <sortState xmlns:xlrd2="http://schemas.microsoft.com/office/spreadsheetml/2017/richdata2" ref="A6:F53">
    <sortCondition descending="1" ref="D5:D53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selection activeCell="A5" sqref="A5:C25"/>
    </sheetView>
  </sheetViews>
  <sheetFormatPr defaultRowHeight="13.5" x14ac:dyDescent="0.15"/>
  <sheetData>
    <row r="1" spans="1:5" x14ac:dyDescent="0.15">
      <c r="A1" t="s">
        <v>60</v>
      </c>
    </row>
    <row r="3" spans="1:5" x14ac:dyDescent="0.15">
      <c r="A3" t="s">
        <v>61</v>
      </c>
    </row>
    <row r="5" spans="1:5" x14ac:dyDescent="0.15">
      <c r="A5" t="s">
        <v>2</v>
      </c>
      <c r="B5" t="s">
        <v>3</v>
      </c>
      <c r="C5" t="s">
        <v>62</v>
      </c>
      <c r="D5" t="s">
        <v>63</v>
      </c>
      <c r="E5" t="s">
        <v>64</v>
      </c>
    </row>
    <row r="6" spans="1:5" x14ac:dyDescent="0.15">
      <c r="A6">
        <v>1</v>
      </c>
      <c r="B6" t="s">
        <v>65</v>
      </c>
      <c r="C6">
        <v>594</v>
      </c>
      <c r="D6">
        <v>11</v>
      </c>
      <c r="E6" t="s">
        <v>66</v>
      </c>
    </row>
    <row r="7" spans="1:5" x14ac:dyDescent="0.15">
      <c r="A7">
        <v>2</v>
      </c>
      <c r="B7" t="s">
        <v>67</v>
      </c>
      <c r="C7">
        <v>501</v>
      </c>
      <c r="D7">
        <v>7</v>
      </c>
      <c r="E7" t="s">
        <v>66</v>
      </c>
    </row>
    <row r="8" spans="1:5" x14ac:dyDescent="0.15">
      <c r="A8">
        <v>3</v>
      </c>
      <c r="B8" t="s">
        <v>55</v>
      </c>
      <c r="C8">
        <v>417</v>
      </c>
      <c r="D8">
        <v>17</v>
      </c>
      <c r="E8" t="s">
        <v>66</v>
      </c>
    </row>
    <row r="9" spans="1:5" x14ac:dyDescent="0.15">
      <c r="A9">
        <v>4</v>
      </c>
      <c r="B9" t="s">
        <v>68</v>
      </c>
      <c r="C9">
        <v>372</v>
      </c>
      <c r="D9">
        <v>9</v>
      </c>
      <c r="E9" t="s">
        <v>66</v>
      </c>
    </row>
    <row r="10" spans="1:5" x14ac:dyDescent="0.15">
      <c r="A10">
        <v>5</v>
      </c>
      <c r="B10" t="s">
        <v>69</v>
      </c>
      <c r="C10">
        <v>225</v>
      </c>
      <c r="D10">
        <v>2</v>
      </c>
      <c r="E10" t="s">
        <v>66</v>
      </c>
    </row>
    <row r="11" spans="1:5" x14ac:dyDescent="0.15">
      <c r="A11">
        <v>6</v>
      </c>
      <c r="B11" t="s">
        <v>70</v>
      </c>
      <c r="C11">
        <v>222</v>
      </c>
      <c r="D11">
        <v>7</v>
      </c>
      <c r="E11" t="s">
        <v>66</v>
      </c>
    </row>
    <row r="12" spans="1:5" x14ac:dyDescent="0.15">
      <c r="A12">
        <v>7</v>
      </c>
      <c r="B12" t="s">
        <v>71</v>
      </c>
      <c r="C12">
        <v>221</v>
      </c>
      <c r="D12">
        <v>8</v>
      </c>
      <c r="E12" t="s">
        <v>66</v>
      </c>
    </row>
    <row r="13" spans="1:5" x14ac:dyDescent="0.15">
      <c r="A13">
        <v>8</v>
      </c>
      <c r="B13" t="s">
        <v>72</v>
      </c>
      <c r="C13">
        <v>191</v>
      </c>
      <c r="D13">
        <v>4</v>
      </c>
      <c r="E13" t="s">
        <v>73</v>
      </c>
    </row>
    <row r="14" spans="1:5" x14ac:dyDescent="0.15">
      <c r="A14">
        <v>9</v>
      </c>
      <c r="B14" t="s">
        <v>74</v>
      </c>
      <c r="C14">
        <v>187</v>
      </c>
      <c r="D14">
        <v>0</v>
      </c>
      <c r="E14" t="s">
        <v>73</v>
      </c>
    </row>
    <row r="15" spans="1:5" x14ac:dyDescent="0.15">
      <c r="A15">
        <v>10</v>
      </c>
      <c r="B15" t="s">
        <v>30</v>
      </c>
      <c r="C15">
        <v>156</v>
      </c>
      <c r="D15">
        <v>29</v>
      </c>
      <c r="E15" t="s">
        <v>73</v>
      </c>
    </row>
    <row r="16" spans="1:5" x14ac:dyDescent="0.15">
      <c r="A16">
        <v>11</v>
      </c>
      <c r="B16" t="s">
        <v>48</v>
      </c>
      <c r="C16">
        <v>136</v>
      </c>
      <c r="D16">
        <v>19</v>
      </c>
      <c r="E16" t="s">
        <v>73</v>
      </c>
    </row>
    <row r="17" spans="1:5" x14ac:dyDescent="0.15">
      <c r="A17">
        <v>12</v>
      </c>
      <c r="B17" t="s">
        <v>75</v>
      </c>
      <c r="C17">
        <v>126</v>
      </c>
      <c r="D17">
        <v>1</v>
      </c>
      <c r="E17" t="s">
        <v>73</v>
      </c>
    </row>
    <row r="18" spans="1:5" x14ac:dyDescent="0.15">
      <c r="A18">
        <v>13</v>
      </c>
      <c r="B18" t="s">
        <v>22</v>
      </c>
      <c r="C18">
        <v>117</v>
      </c>
      <c r="D18">
        <v>37</v>
      </c>
      <c r="E18" t="s">
        <v>73</v>
      </c>
    </row>
    <row r="19" spans="1:5" x14ac:dyDescent="0.15">
      <c r="A19">
        <v>14</v>
      </c>
      <c r="B19" t="s">
        <v>58</v>
      </c>
      <c r="C19">
        <v>115</v>
      </c>
      <c r="D19">
        <v>16</v>
      </c>
      <c r="E19" t="s">
        <v>73</v>
      </c>
    </row>
    <row r="20" spans="1:5" x14ac:dyDescent="0.15">
      <c r="A20">
        <v>15</v>
      </c>
      <c r="B20" t="s">
        <v>76</v>
      </c>
      <c r="C20">
        <v>111</v>
      </c>
      <c r="D20">
        <v>9</v>
      </c>
      <c r="E20" t="s">
        <v>73</v>
      </c>
    </row>
    <row r="21" spans="1:5" x14ac:dyDescent="0.15">
      <c r="A21">
        <v>16</v>
      </c>
      <c r="B21" t="s">
        <v>77</v>
      </c>
      <c r="C21">
        <v>108</v>
      </c>
      <c r="D21">
        <v>0</v>
      </c>
      <c r="E21" t="s">
        <v>73</v>
      </c>
    </row>
    <row r="22" spans="1:5" x14ac:dyDescent="0.15">
      <c r="A22">
        <v>17</v>
      </c>
      <c r="B22" t="s">
        <v>53</v>
      </c>
      <c r="C22">
        <v>107</v>
      </c>
      <c r="D22">
        <v>17</v>
      </c>
      <c r="E22" t="s">
        <v>73</v>
      </c>
    </row>
    <row r="23" spans="1:5" x14ac:dyDescent="0.15">
      <c r="A23">
        <v>18</v>
      </c>
      <c r="B23" t="s">
        <v>78</v>
      </c>
      <c r="C23">
        <v>97</v>
      </c>
      <c r="D23">
        <v>2</v>
      </c>
      <c r="E23" t="s">
        <v>79</v>
      </c>
    </row>
    <row r="24" spans="1:5" x14ac:dyDescent="0.15">
      <c r="A24">
        <v>19</v>
      </c>
      <c r="B24" t="s">
        <v>80</v>
      </c>
      <c r="C24">
        <v>93</v>
      </c>
      <c r="D24">
        <v>9</v>
      </c>
      <c r="E24" t="s">
        <v>79</v>
      </c>
    </row>
    <row r="25" spans="1:5" x14ac:dyDescent="0.15">
      <c r="A25">
        <v>20</v>
      </c>
      <c r="B25" t="s">
        <v>81</v>
      </c>
      <c r="C25">
        <v>88</v>
      </c>
      <c r="D25">
        <v>1</v>
      </c>
      <c r="E25" t="s">
        <v>79</v>
      </c>
    </row>
    <row r="26" spans="1:5" x14ac:dyDescent="0.15">
      <c r="A26">
        <v>21</v>
      </c>
      <c r="B26" t="s">
        <v>82</v>
      </c>
      <c r="C26">
        <v>83</v>
      </c>
      <c r="D26">
        <v>1</v>
      </c>
      <c r="E26" t="s">
        <v>79</v>
      </c>
    </row>
    <row r="27" spans="1:5" x14ac:dyDescent="0.15">
      <c r="A27">
        <v>22</v>
      </c>
      <c r="B27" t="s">
        <v>83</v>
      </c>
      <c r="C27">
        <v>83</v>
      </c>
      <c r="D27">
        <v>0</v>
      </c>
      <c r="E27" t="s">
        <v>79</v>
      </c>
    </row>
    <row r="28" spans="1:5" x14ac:dyDescent="0.15">
      <c r="A28">
        <v>23</v>
      </c>
      <c r="B28" t="s">
        <v>84</v>
      </c>
      <c r="C28">
        <v>83</v>
      </c>
      <c r="D28">
        <v>3</v>
      </c>
      <c r="E28" t="s">
        <v>79</v>
      </c>
    </row>
    <row r="29" spans="1:5" x14ac:dyDescent="0.15">
      <c r="A29">
        <v>24</v>
      </c>
      <c r="B29" t="s">
        <v>85</v>
      </c>
      <c r="C29">
        <v>78</v>
      </c>
      <c r="D29">
        <v>4</v>
      </c>
      <c r="E29" t="s">
        <v>79</v>
      </c>
    </row>
    <row r="30" spans="1:5" x14ac:dyDescent="0.15">
      <c r="A30">
        <v>25</v>
      </c>
      <c r="B30" t="s">
        <v>86</v>
      </c>
      <c r="C30">
        <v>76</v>
      </c>
      <c r="D30">
        <v>4</v>
      </c>
      <c r="E30" t="s">
        <v>79</v>
      </c>
    </row>
    <row r="31" spans="1:5" x14ac:dyDescent="0.15">
      <c r="A31">
        <v>26</v>
      </c>
      <c r="B31" t="s">
        <v>87</v>
      </c>
      <c r="C31">
        <v>76</v>
      </c>
      <c r="D31">
        <v>0</v>
      </c>
      <c r="E31" t="s">
        <v>79</v>
      </c>
    </row>
    <row r="32" spans="1:5" x14ac:dyDescent="0.15">
      <c r="A32">
        <v>27</v>
      </c>
      <c r="B32" t="s">
        <v>88</v>
      </c>
      <c r="C32">
        <v>74</v>
      </c>
      <c r="D32">
        <v>5</v>
      </c>
      <c r="E32" t="s">
        <v>79</v>
      </c>
    </row>
    <row r="33" spans="1:5" x14ac:dyDescent="0.15">
      <c r="A33">
        <v>28</v>
      </c>
      <c r="B33" t="s">
        <v>18</v>
      </c>
      <c r="C33">
        <v>73</v>
      </c>
      <c r="D33">
        <v>51</v>
      </c>
      <c r="E33" t="s">
        <v>79</v>
      </c>
    </row>
    <row r="34" spans="1:5" x14ac:dyDescent="0.15">
      <c r="A34">
        <v>29</v>
      </c>
      <c r="B34" t="s">
        <v>89</v>
      </c>
      <c r="C34">
        <v>72</v>
      </c>
      <c r="D34">
        <v>0</v>
      </c>
      <c r="E34" t="s">
        <v>79</v>
      </c>
    </row>
    <row r="35" spans="1:5" x14ac:dyDescent="0.15">
      <c r="A35">
        <v>30</v>
      </c>
      <c r="B35" t="s">
        <v>90</v>
      </c>
      <c r="C35">
        <v>72</v>
      </c>
      <c r="D35">
        <v>12</v>
      </c>
      <c r="E35" t="s">
        <v>79</v>
      </c>
    </row>
    <row r="36" spans="1:5" x14ac:dyDescent="0.15">
      <c r="A36">
        <v>31</v>
      </c>
      <c r="B36" t="s">
        <v>91</v>
      </c>
      <c r="C36">
        <v>69</v>
      </c>
      <c r="D36">
        <v>0</v>
      </c>
      <c r="E36" t="s">
        <v>79</v>
      </c>
    </row>
    <row r="37" spans="1:5" x14ac:dyDescent="0.15">
      <c r="A37">
        <v>32</v>
      </c>
      <c r="B37" t="s">
        <v>92</v>
      </c>
      <c r="C37">
        <v>66</v>
      </c>
      <c r="D37">
        <v>3</v>
      </c>
      <c r="E37" t="s">
        <v>79</v>
      </c>
    </row>
    <row r="38" spans="1:5" x14ac:dyDescent="0.15">
      <c r="A38">
        <v>33</v>
      </c>
      <c r="B38" t="s">
        <v>93</v>
      </c>
      <c r="C38">
        <v>66</v>
      </c>
      <c r="D38">
        <v>0</v>
      </c>
      <c r="E38" t="s">
        <v>79</v>
      </c>
    </row>
    <row r="39" spans="1:5" x14ac:dyDescent="0.15">
      <c r="A39">
        <v>34</v>
      </c>
      <c r="B39" t="s">
        <v>94</v>
      </c>
      <c r="C39">
        <v>65</v>
      </c>
      <c r="D39">
        <v>6</v>
      </c>
      <c r="E39" t="s">
        <v>79</v>
      </c>
    </row>
    <row r="40" spans="1:5" x14ac:dyDescent="0.15">
      <c r="A40">
        <v>35</v>
      </c>
      <c r="B40" t="s">
        <v>17</v>
      </c>
      <c r="C40">
        <v>64</v>
      </c>
      <c r="D40">
        <v>62</v>
      </c>
      <c r="E40" t="s">
        <v>79</v>
      </c>
    </row>
    <row r="41" spans="1:5" x14ac:dyDescent="0.15">
      <c r="A41">
        <v>36</v>
      </c>
      <c r="B41" t="s">
        <v>95</v>
      </c>
      <c r="C41">
        <v>64</v>
      </c>
      <c r="D41">
        <v>0</v>
      </c>
      <c r="E41" t="s">
        <v>79</v>
      </c>
    </row>
    <row r="42" spans="1:5" x14ac:dyDescent="0.15">
      <c r="A42">
        <v>37</v>
      </c>
      <c r="B42" t="s">
        <v>29</v>
      </c>
      <c r="C42">
        <v>61</v>
      </c>
      <c r="D42">
        <v>31</v>
      </c>
      <c r="E42" t="s">
        <v>79</v>
      </c>
    </row>
    <row r="43" spans="1:5" x14ac:dyDescent="0.15">
      <c r="A43">
        <v>38</v>
      </c>
      <c r="B43" t="s">
        <v>96</v>
      </c>
      <c r="C43">
        <v>59</v>
      </c>
      <c r="D43">
        <v>0</v>
      </c>
      <c r="E43" t="s">
        <v>79</v>
      </c>
    </row>
    <row r="44" spans="1:5" x14ac:dyDescent="0.15">
      <c r="A44">
        <v>39</v>
      </c>
      <c r="B44" t="s">
        <v>47</v>
      </c>
      <c r="C44">
        <v>57</v>
      </c>
      <c r="D44">
        <v>20</v>
      </c>
      <c r="E44" t="s">
        <v>79</v>
      </c>
    </row>
    <row r="45" spans="1:5" x14ac:dyDescent="0.15">
      <c r="A45">
        <v>40</v>
      </c>
      <c r="B45" t="s">
        <v>97</v>
      </c>
      <c r="C45">
        <v>56</v>
      </c>
      <c r="D45">
        <v>1</v>
      </c>
      <c r="E45" t="s">
        <v>79</v>
      </c>
    </row>
    <row r="46" spans="1:5" x14ac:dyDescent="0.15">
      <c r="A46">
        <v>41</v>
      </c>
      <c r="B46" t="s">
        <v>98</v>
      </c>
      <c r="C46">
        <v>55</v>
      </c>
      <c r="D46">
        <v>4</v>
      </c>
      <c r="E46" t="s">
        <v>79</v>
      </c>
    </row>
    <row r="47" spans="1:5" x14ac:dyDescent="0.15">
      <c r="A47">
        <v>42</v>
      </c>
      <c r="B47" t="s">
        <v>99</v>
      </c>
      <c r="C47">
        <v>54</v>
      </c>
      <c r="D47">
        <v>1</v>
      </c>
      <c r="E47" t="s">
        <v>79</v>
      </c>
    </row>
    <row r="48" spans="1:5" x14ac:dyDescent="0.15">
      <c r="A48">
        <v>43</v>
      </c>
      <c r="B48" t="s">
        <v>100</v>
      </c>
      <c r="C48">
        <v>53</v>
      </c>
      <c r="D48">
        <v>3</v>
      </c>
      <c r="E48" t="s">
        <v>79</v>
      </c>
    </row>
    <row r="49" spans="1:5" x14ac:dyDescent="0.15">
      <c r="A49">
        <v>44</v>
      </c>
      <c r="B49" t="s">
        <v>101</v>
      </c>
      <c r="C49">
        <v>53</v>
      </c>
      <c r="D49">
        <v>12</v>
      </c>
      <c r="E49" t="s">
        <v>79</v>
      </c>
    </row>
    <row r="50" spans="1:5" x14ac:dyDescent="0.15">
      <c r="A50">
        <v>45</v>
      </c>
      <c r="B50" t="s">
        <v>102</v>
      </c>
      <c r="C50">
        <v>52</v>
      </c>
      <c r="D50">
        <v>4</v>
      </c>
      <c r="E50" t="s">
        <v>79</v>
      </c>
    </row>
    <row r="51" spans="1:5" x14ac:dyDescent="0.15">
      <c r="A51">
        <v>46</v>
      </c>
      <c r="B51" t="s">
        <v>103</v>
      </c>
      <c r="C51">
        <v>51</v>
      </c>
      <c r="D51">
        <v>9</v>
      </c>
      <c r="E51" t="s">
        <v>79</v>
      </c>
    </row>
    <row r="52" spans="1:5" x14ac:dyDescent="0.15">
      <c r="A52">
        <v>47</v>
      </c>
      <c r="B52" t="s">
        <v>104</v>
      </c>
      <c r="C52">
        <v>50</v>
      </c>
      <c r="D52">
        <v>2</v>
      </c>
      <c r="E52" t="s">
        <v>79</v>
      </c>
    </row>
  </sheetData>
  <autoFilter ref="A5:E5" xr:uid="{00000000-0001-0000-0100-000000000000}">
    <sortState xmlns:xlrd2="http://schemas.microsoft.com/office/spreadsheetml/2017/richdata2" ref="A6:E52">
      <sortCondition descending="1" ref="C5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105</v>
      </c>
    </row>
    <row r="3" spans="1:5" x14ac:dyDescent="0.15">
      <c r="A3" t="s">
        <v>2</v>
      </c>
      <c r="B3" t="s">
        <v>3</v>
      </c>
      <c r="C3" t="s">
        <v>106</v>
      </c>
      <c r="D3" t="s">
        <v>62</v>
      </c>
      <c r="E3" t="s">
        <v>107</v>
      </c>
    </row>
    <row r="5" spans="1:5" x14ac:dyDescent="0.15">
      <c r="A5">
        <v>1</v>
      </c>
      <c r="B5" t="s">
        <v>17</v>
      </c>
      <c r="C5">
        <v>62</v>
      </c>
      <c r="D5">
        <v>64</v>
      </c>
      <c r="E5" t="s">
        <v>108</v>
      </c>
    </row>
    <row r="6" spans="1:5" x14ac:dyDescent="0.15">
      <c r="A6">
        <v>2</v>
      </c>
      <c r="B6" t="s">
        <v>18</v>
      </c>
      <c r="C6">
        <v>51</v>
      </c>
      <c r="D6">
        <v>73</v>
      </c>
      <c r="E6" t="s">
        <v>108</v>
      </c>
    </row>
    <row r="7" spans="1:5" x14ac:dyDescent="0.15">
      <c r="A7">
        <v>3</v>
      </c>
      <c r="B7" t="s">
        <v>22</v>
      </c>
      <c r="C7">
        <v>37</v>
      </c>
      <c r="D7">
        <v>117</v>
      </c>
      <c r="E7" t="s">
        <v>108</v>
      </c>
    </row>
    <row r="8" spans="1:5" x14ac:dyDescent="0.15">
      <c r="A8">
        <v>4</v>
      </c>
      <c r="B8" t="s">
        <v>29</v>
      </c>
      <c r="C8">
        <v>31</v>
      </c>
      <c r="D8">
        <v>61</v>
      </c>
      <c r="E8" t="s">
        <v>108</v>
      </c>
    </row>
    <row r="9" spans="1:5" x14ac:dyDescent="0.15">
      <c r="A9">
        <v>5</v>
      </c>
      <c r="B9" t="s">
        <v>30</v>
      </c>
      <c r="C9">
        <v>29</v>
      </c>
      <c r="D9">
        <v>156</v>
      </c>
      <c r="E9" t="s">
        <v>108</v>
      </c>
    </row>
    <row r="10" spans="1:5" x14ac:dyDescent="0.15">
      <c r="A10">
        <v>6</v>
      </c>
      <c r="B10" t="s">
        <v>47</v>
      </c>
      <c r="C10">
        <v>20</v>
      </c>
      <c r="D10">
        <v>57</v>
      </c>
      <c r="E10" t="s">
        <v>108</v>
      </c>
    </row>
    <row r="11" spans="1:5" x14ac:dyDescent="0.15">
      <c r="A11">
        <v>7</v>
      </c>
      <c r="B11" t="s">
        <v>48</v>
      </c>
      <c r="C11">
        <v>19</v>
      </c>
      <c r="D11">
        <v>136</v>
      </c>
      <c r="E11" t="s">
        <v>108</v>
      </c>
    </row>
    <row r="12" spans="1:5" x14ac:dyDescent="0.15">
      <c r="A12">
        <v>8</v>
      </c>
      <c r="B12" t="s">
        <v>53</v>
      </c>
      <c r="C12">
        <v>17</v>
      </c>
      <c r="D12">
        <v>107</v>
      </c>
      <c r="E12" t="s">
        <v>108</v>
      </c>
    </row>
    <row r="13" spans="1:5" x14ac:dyDescent="0.15">
      <c r="A13">
        <v>9</v>
      </c>
      <c r="B13" t="s">
        <v>55</v>
      </c>
      <c r="C13">
        <v>17</v>
      </c>
      <c r="D13">
        <v>417</v>
      </c>
      <c r="E13" t="s">
        <v>108</v>
      </c>
    </row>
    <row r="14" spans="1:5" x14ac:dyDescent="0.15">
      <c r="A14">
        <v>10</v>
      </c>
      <c r="B14" t="s">
        <v>58</v>
      </c>
      <c r="C14">
        <v>16</v>
      </c>
      <c r="D14">
        <v>115</v>
      </c>
      <c r="E14" t="s">
        <v>108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5" x14ac:dyDescent="0.15"/>
  <sheetData>
    <row r="1" spans="1:2" x14ac:dyDescent="0.15">
      <c r="A1" t="s">
        <v>109</v>
      </c>
    </row>
    <row r="3" spans="1:2" x14ac:dyDescent="0.15">
      <c r="A3" t="s">
        <v>110</v>
      </c>
      <c r="B3" t="s">
        <v>111</v>
      </c>
    </row>
    <row r="4" spans="1:2" x14ac:dyDescent="0.15">
      <c r="A4" t="s">
        <v>112</v>
      </c>
      <c r="B4" t="s">
        <v>113</v>
      </c>
    </row>
    <row r="5" spans="1:2" x14ac:dyDescent="0.15">
      <c r="A5" t="s">
        <v>114</v>
      </c>
      <c r="B5" t="s">
        <v>115</v>
      </c>
    </row>
    <row r="6" spans="1:2" x14ac:dyDescent="0.15">
      <c r="A6" t="s">
        <v>116</v>
      </c>
      <c r="B6" t="s">
        <v>117</v>
      </c>
    </row>
    <row r="7" spans="1:2" x14ac:dyDescent="0.15">
      <c r="A7" t="s">
        <v>118</v>
      </c>
      <c r="B7" t="s">
        <v>119</v>
      </c>
    </row>
    <row r="8" spans="1:2" x14ac:dyDescent="0.15">
      <c r="A8" t="s">
        <v>120</v>
      </c>
      <c r="B8" t="s">
        <v>121</v>
      </c>
    </row>
    <row r="9" spans="1:2" x14ac:dyDescent="0.15">
      <c r="A9" t="s">
        <v>122</v>
      </c>
      <c r="B9" t="s">
        <v>123</v>
      </c>
    </row>
    <row r="10" spans="1:2" x14ac:dyDescent="0.15">
      <c r="A10" t="s">
        <v>124</v>
      </c>
      <c r="B10" t="s">
        <v>125</v>
      </c>
    </row>
    <row r="11" spans="1:2" x14ac:dyDescent="0.15">
      <c r="A11" t="s">
        <v>126</v>
      </c>
      <c r="B11" t="s">
        <v>127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客观表</vt:lpstr>
      <vt:lpstr>主观表</vt:lpstr>
      <vt:lpstr>两表重叠</vt:lpstr>
      <vt:lpstr>口径说明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CHEN</cp:lastModifiedBy>
  <dcterms:created xsi:type="dcterms:W3CDTF">2026-08-17T09:45:45Z</dcterms:created>
  <dcterms:modified xsi:type="dcterms:W3CDTF">2026-08-18T06:57:06Z</dcterms:modified>
</cp:coreProperties>
</file>